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c549000185013c5/Documents/OpenVSP/examples/models/BRGlider/"/>
    </mc:Choice>
  </mc:AlternateContent>
  <xr:revisionPtr revIDLastSave="15" documentId="13_ncr:1_{39F39A2B-6D48-4A30-9A41-C645330DB5DD}" xr6:coauthVersionLast="47" xr6:coauthVersionMax="47" xr10:uidLastSave="{01E6679B-2B14-4901-9A3E-AD2060288CD8}"/>
  <bookViews>
    <workbookView xWindow="-110" yWindow="-110" windowWidth="19420" windowHeight="11500" xr2:uid="{00000000-000D-0000-FFFF-FFFF00000000}"/>
  </bookViews>
  <sheets>
    <sheet name="三面図" sheetId="1" r:id="rId1"/>
    <sheet name="wing.xwimp" sheetId="2" r:id="rId2"/>
    <sheet name="tail.xwimp" sheetId="3" r:id="rId3"/>
    <sheet name="fin.xwimp" sheetId="4" r:id="rId4"/>
  </sheets>
  <definedNames>
    <definedName name="ARf">三面図!$D$24</definedName>
    <definedName name="ARw">三面図!$D$5</definedName>
    <definedName name="bF">三面図!$D$23</definedName>
    <definedName name="bH">三面図!$D$12</definedName>
    <definedName name="bW">三面図!$D$4</definedName>
    <definedName name="lF">三面図!$D$29</definedName>
    <definedName name="lH">三面図!$D$18</definedName>
    <definedName name="MACf">三面図!$D$25</definedName>
    <definedName name="MACh">三面図!$D$14</definedName>
    <definedName name="MACw">三面図!$D$6</definedName>
    <definedName name="SF">三面図!$D$22</definedName>
    <definedName name="SH">三面図!$D$11</definedName>
    <definedName name="Sw">三面図!$D$3</definedName>
    <definedName name="wtip">三面図!$D$9</definedName>
    <definedName name="xcrefW">三面図!$D$8</definedName>
    <definedName name="yMACw">三面図!$D$7</definedName>
    <definedName name="zF">三面図!$D$30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A2" i="4"/>
  <c r="A3" i="4"/>
  <c r="C3" i="4"/>
  <c r="B3" i="4"/>
  <c r="C2" i="4"/>
  <c r="B2" i="4"/>
  <c r="D3" i="3"/>
  <c r="B3" i="3"/>
  <c r="A3" i="3"/>
  <c r="B2" i="3"/>
  <c r="A2" i="3"/>
  <c r="C4" i="2"/>
  <c r="C3" i="2"/>
  <c r="C2" i="2"/>
  <c r="B6" i="2"/>
  <c r="B5" i="2"/>
  <c r="B4" i="2"/>
  <c r="B3" i="2"/>
  <c r="B2" i="2"/>
  <c r="A6" i="2"/>
  <c r="A5" i="2"/>
  <c r="A4" i="2"/>
  <c r="A3" i="2"/>
  <c r="A2" i="2"/>
  <c r="AE6" i="1"/>
  <c r="AE7" i="1" s="1"/>
  <c r="AB7" i="1"/>
  <c r="AB6" i="1"/>
  <c r="Z16" i="1"/>
  <c r="V6" i="1"/>
  <c r="V7" i="1" s="1"/>
  <c r="V3" i="1"/>
  <c r="V4" i="1" s="1"/>
  <c r="S6" i="1"/>
  <c r="S7" i="1" s="1"/>
  <c r="S3" i="1"/>
  <c r="S4" i="1" s="1"/>
  <c r="P15" i="1"/>
  <c r="P16" i="1" s="1"/>
  <c r="P12" i="1"/>
  <c r="P13" i="1" s="1"/>
  <c r="P9" i="1"/>
  <c r="P10" i="1" s="1"/>
  <c r="P6" i="1"/>
  <c r="P7" i="1" s="1"/>
  <c r="P3" i="1"/>
  <c r="P4" i="1" s="1"/>
  <c r="L24" i="1"/>
  <c r="H12" i="1"/>
  <c r="H13" i="1" s="1"/>
  <c r="D12" i="1"/>
  <c r="L12" i="1"/>
  <c r="K12" i="1"/>
  <c r="I8" i="1"/>
  <c r="J8" i="1" s="1"/>
  <c r="Q16" i="1" s="1"/>
  <c r="I7" i="1"/>
  <c r="J7" i="1" s="1"/>
  <c r="Z13" i="1" s="1"/>
  <c r="I6" i="1"/>
  <c r="J6" i="1" s="1"/>
  <c r="Z10" i="1" s="1"/>
  <c r="I5" i="1"/>
  <c r="J5" i="1" s="1"/>
  <c r="Q7" i="1" s="1"/>
  <c r="I4" i="1"/>
  <c r="J4" i="1" s="1"/>
  <c r="Q4" i="1" s="1"/>
  <c r="L5" i="1"/>
  <c r="L6" i="1"/>
  <c r="L7" i="1"/>
  <c r="L8" i="1"/>
  <c r="L4" i="1"/>
  <c r="K8" i="1"/>
  <c r="K7" i="1"/>
  <c r="K6" i="1"/>
  <c r="K5" i="1"/>
  <c r="K4" i="1"/>
  <c r="D3" i="1"/>
  <c r="D4" i="1"/>
  <c r="M7" i="1" s="1"/>
  <c r="Y12" i="1" s="1"/>
  <c r="Y13" i="1" s="1"/>
  <c r="M5" i="1" l="1"/>
  <c r="C5" i="2"/>
  <c r="C6" i="2"/>
  <c r="D11" i="1"/>
  <c r="D13" i="1" s="1"/>
  <c r="M23" i="1"/>
  <c r="L23" i="1" s="1"/>
  <c r="Z3" i="1"/>
  <c r="D4" i="2"/>
  <c r="Z4" i="1"/>
  <c r="M4" i="1"/>
  <c r="Y3" i="1" s="1"/>
  <c r="Y4" i="1" s="1"/>
  <c r="Z15" i="1"/>
  <c r="AE3" i="1"/>
  <c r="AE4" i="1" s="1"/>
  <c r="Q9" i="1"/>
  <c r="Z6" i="1"/>
  <c r="Q10" i="1"/>
  <c r="M6" i="1"/>
  <c r="Q12" i="1"/>
  <c r="Z7" i="1"/>
  <c r="Q6" i="1"/>
  <c r="Q3" i="1"/>
  <c r="Q13" i="1"/>
  <c r="Z9" i="1"/>
  <c r="M12" i="1"/>
  <c r="Q15" i="1"/>
  <c r="Z12" i="1"/>
  <c r="K24" i="1"/>
  <c r="K23" i="1"/>
  <c r="M8" i="1"/>
  <c r="D6" i="1"/>
  <c r="D20" i="1" s="1" a="1"/>
  <c r="D7" i="1"/>
  <c r="D5" i="1"/>
  <c r="L13" i="1"/>
  <c r="D15" i="1" s="1"/>
  <c r="K13" i="1"/>
  <c r="D14" i="1" s="1"/>
  <c r="AB3" i="1" l="1"/>
  <c r="AB4" i="1" s="1"/>
  <c r="D2" i="3"/>
  <c r="Y15" i="1"/>
  <c r="Y16" i="1" s="1"/>
  <c r="D5" i="2"/>
  <c r="D6" i="2" s="1"/>
  <c r="D22" i="1"/>
  <c r="D25" i="1" s="1"/>
  <c r="Y9" i="1"/>
  <c r="Y10" i="1" s="1"/>
  <c r="D3" i="2"/>
  <c r="D23" i="1"/>
  <c r="D24" i="1" s="1"/>
  <c r="Y6" i="1"/>
  <c r="Y7" i="1" s="1"/>
  <c r="D2" i="2"/>
  <c r="I12" i="1"/>
  <c r="I13" i="1"/>
  <c r="C2" i="3" l="1"/>
  <c r="D31" i="1"/>
  <c r="D26" i="1"/>
  <c r="AC6" i="1"/>
  <c r="C3" i="3"/>
  <c r="I24" i="1"/>
  <c r="AF6" i="1" s="1"/>
  <c r="I23" i="1"/>
  <c r="AF3" i="1" s="1"/>
  <c r="T6" i="1"/>
  <c r="J13" i="1"/>
  <c r="T3" i="1"/>
  <c r="AC3" i="1"/>
  <c r="J12" i="1"/>
  <c r="T7" i="1" l="1"/>
  <c r="AC7" i="1"/>
  <c r="T4" i="1"/>
  <c r="AC4" i="1"/>
  <c r="W3" i="1"/>
  <c r="J23" i="1"/>
  <c r="J24" i="1"/>
  <c r="W6" i="1"/>
  <c r="W7" i="1" l="1"/>
  <c r="AF7" i="1"/>
  <c r="W4" i="1"/>
  <c r="A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<sst xmlns="http://schemas.openxmlformats.org/spreadsheetml/2006/main" count="120" uniqueCount="49">
  <si>
    <t>Wing</t>
    <phoneticPr fontId="1"/>
  </si>
  <si>
    <t>Sw</t>
    <phoneticPr fontId="1"/>
  </si>
  <si>
    <t>bW</t>
    <phoneticPr fontId="1"/>
  </si>
  <si>
    <t>MACw</t>
    <phoneticPr fontId="1"/>
  </si>
  <si>
    <t>yMACw</t>
    <phoneticPr fontId="1"/>
  </si>
  <si>
    <t>㎡</t>
    <phoneticPr fontId="1"/>
  </si>
  <si>
    <t>m</t>
    <phoneticPr fontId="1"/>
  </si>
  <si>
    <t>ARw</t>
    <phoneticPr fontId="1"/>
  </si>
  <si>
    <t>-</t>
    <phoneticPr fontId="1"/>
  </si>
  <si>
    <t>y</t>
    <phoneticPr fontId="1"/>
  </si>
  <si>
    <t>c</t>
    <phoneticPr fontId="1"/>
  </si>
  <si>
    <t>xLE</t>
    <phoneticPr fontId="1"/>
  </si>
  <si>
    <t>xTE</t>
    <phoneticPr fontId="1"/>
  </si>
  <si>
    <r>
      <t>c</t>
    </r>
    <r>
      <rPr>
        <vertAlign val="superscript"/>
        <sz val="11"/>
        <color theme="1"/>
        <rFont val="メイリオ"/>
        <family val="3"/>
        <charset val="128"/>
      </rPr>
      <t>2</t>
    </r>
    <phoneticPr fontId="1"/>
  </si>
  <si>
    <t>cy</t>
    <phoneticPr fontId="1"/>
  </si>
  <si>
    <t>z</t>
    <phoneticPr fontId="1"/>
  </si>
  <si>
    <r>
      <t>w</t>
    </r>
    <r>
      <rPr>
        <vertAlign val="subscript"/>
        <sz val="11"/>
        <color theme="1"/>
        <rFont val="メイリオ"/>
        <family val="3"/>
        <charset val="128"/>
      </rPr>
      <t>tip</t>
    </r>
    <phoneticPr fontId="1"/>
  </si>
  <si>
    <t>Tail</t>
    <phoneticPr fontId="1"/>
  </si>
  <si>
    <t>bH</t>
    <phoneticPr fontId="1"/>
  </si>
  <si>
    <t>SH</t>
    <phoneticPr fontId="1"/>
  </si>
  <si>
    <t>MACh</t>
    <phoneticPr fontId="1"/>
  </si>
  <si>
    <t>yMACh</t>
    <phoneticPr fontId="1"/>
  </si>
  <si>
    <t>cH</t>
    <phoneticPr fontId="1"/>
  </si>
  <si>
    <t>lH</t>
    <phoneticPr fontId="1"/>
  </si>
  <si>
    <t>zH</t>
    <phoneticPr fontId="1"/>
  </si>
  <si>
    <t>VH</t>
    <phoneticPr fontId="1"/>
  </si>
  <si>
    <t>ARh</t>
    <phoneticPr fontId="1"/>
  </si>
  <si>
    <t>SF</t>
    <phoneticPr fontId="1"/>
  </si>
  <si>
    <t>bF</t>
    <phoneticPr fontId="1"/>
  </si>
  <si>
    <t>MACf</t>
    <phoneticPr fontId="1"/>
  </si>
  <si>
    <t>yMACf</t>
    <phoneticPr fontId="1"/>
  </si>
  <si>
    <t>cF</t>
    <phoneticPr fontId="1"/>
  </si>
  <si>
    <t>lF</t>
    <phoneticPr fontId="1"/>
  </si>
  <si>
    <t>zF</t>
    <phoneticPr fontId="1"/>
  </si>
  <si>
    <t>VF</t>
    <phoneticPr fontId="1"/>
  </si>
  <si>
    <t>ARf</t>
    <phoneticPr fontId="1"/>
  </si>
  <si>
    <t>Fin</t>
    <phoneticPr fontId="1"/>
  </si>
  <si>
    <t>x</t>
    <phoneticPr fontId="1"/>
  </si>
  <si>
    <r>
      <t>(x/c)</t>
    </r>
    <r>
      <rPr>
        <vertAlign val="subscript"/>
        <sz val="11"/>
        <color theme="1"/>
        <rFont val="メイリオ"/>
        <family val="3"/>
        <charset val="128"/>
      </rPr>
      <t>Λ</t>
    </r>
    <phoneticPr fontId="1"/>
  </si>
  <si>
    <t>NACA_4412</t>
  </si>
  <si>
    <t>NACA_0012</t>
    <phoneticPr fontId="1"/>
  </si>
  <si>
    <t>NACA_0009</t>
    <phoneticPr fontId="1"/>
  </si>
  <si>
    <t>HTail</t>
    <phoneticPr fontId="1"/>
  </si>
  <si>
    <t>VTail</t>
    <phoneticPr fontId="1"/>
  </si>
  <si>
    <t>M</t>
    <phoneticPr fontId="1"/>
  </si>
  <si>
    <t>kg</t>
    <phoneticPr fontId="1"/>
  </si>
  <si>
    <t>CL</t>
    <phoneticPr fontId="1"/>
  </si>
  <si>
    <t>V</t>
    <phoneticPr fontId="1"/>
  </si>
  <si>
    <t>m/s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</si>
</sst>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vertAlign val="superscript"/>
      <sz val="11"/>
      <color theme="1"/>
      <name val="メイリオ"/>
      <family val="3"/>
      <charset val="128"/>
    </font>
    <font>
      <vertAlign val="subscript"/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02961735046279"/>
          <c:y val="8.8893376814460245E-2"/>
          <c:w val="0.84449078602016847"/>
          <c:h val="0.73075131691770634"/>
        </c:manualLayout>
      </c:layout>
      <c:scatterChart>
        <c:scatterStyle val="lineMarker"/>
        <c:varyColors val="0"/>
        <c:ser>
          <c:idx val="0"/>
          <c:order val="0"/>
          <c:tx>
            <c:v>LEw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三面図!$G$4:$G$8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13.5</c:v>
                </c:pt>
              </c:numCache>
            </c:numRef>
          </c:xVal>
          <c:yVal>
            <c:numRef>
              <c:f>三面図!$I$4:$I$8</c:f>
              <c:numCache>
                <c:formatCode>General</c:formatCode>
                <c:ptCount val="5"/>
                <c:pt idx="0">
                  <c:v>-0.24</c:v>
                </c:pt>
                <c:pt idx="1">
                  <c:v>-0.24</c:v>
                </c:pt>
                <c:pt idx="2">
                  <c:v>-0.21</c:v>
                </c:pt>
                <c:pt idx="3">
                  <c:v>-0.13500000000000001</c:v>
                </c:pt>
                <c:pt idx="4">
                  <c:v>-0.09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B-487F-ACB5-28C085C8BF2C}"/>
            </c:ext>
          </c:extLst>
        </c:ser>
        <c:ser>
          <c:idx val="1"/>
          <c:order val="1"/>
          <c:tx>
            <c:v>TEw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三面図!$G$4:$G$8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13.5</c:v>
                </c:pt>
              </c:numCache>
            </c:numRef>
          </c:xVal>
          <c:yVal>
            <c:numRef>
              <c:f>三面図!$J$4:$J$8</c:f>
              <c:numCache>
                <c:formatCode>General</c:formatCode>
                <c:ptCount val="5"/>
                <c:pt idx="0">
                  <c:v>0.56000000000000005</c:v>
                </c:pt>
                <c:pt idx="1">
                  <c:v>0.56000000000000005</c:v>
                </c:pt>
                <c:pt idx="2">
                  <c:v>0.49</c:v>
                </c:pt>
                <c:pt idx="3">
                  <c:v>0.315</c:v>
                </c:pt>
                <c:pt idx="4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B-487F-ACB5-28C085C8BF2C}"/>
            </c:ext>
          </c:extLst>
        </c:ser>
        <c:ser>
          <c:idx val="2"/>
          <c:order val="2"/>
          <c:tx>
            <c:v>LEh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三面図!$G$12:$G$13</c:f>
              <c:numCache>
                <c:formatCode>General</c:formatCode>
                <c:ptCount val="2"/>
                <c:pt idx="0">
                  <c:v>0</c:v>
                </c:pt>
                <c:pt idx="1">
                  <c:v>1.1000000000000001</c:v>
                </c:pt>
              </c:numCache>
            </c:numRef>
          </c:xVal>
          <c:yVal>
            <c:numRef>
              <c:f>三面図!$I$12:$I$13</c:f>
              <c:numCache>
                <c:formatCode>General</c:formatCode>
                <c:ptCount val="2"/>
                <c:pt idx="0">
                  <c:v>4.375</c:v>
                </c:pt>
                <c:pt idx="1">
                  <c:v>4.375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B-487F-ACB5-28C085C8BF2C}"/>
            </c:ext>
          </c:extLst>
        </c:ser>
        <c:ser>
          <c:idx val="3"/>
          <c:order val="3"/>
          <c:tx>
            <c:v>TEh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三面図!$G$12:$G$13</c:f>
              <c:numCache>
                <c:formatCode>General</c:formatCode>
                <c:ptCount val="2"/>
                <c:pt idx="0">
                  <c:v>0</c:v>
                </c:pt>
                <c:pt idx="1">
                  <c:v>1.1000000000000001</c:v>
                </c:pt>
              </c:numCache>
            </c:numRef>
          </c:xVal>
          <c:yVal>
            <c:numRef>
              <c:f>三面図!$J$12:$J$13</c:f>
              <c:numCache>
                <c:formatCode>General</c:formatCode>
                <c:ptCount val="2"/>
                <c:pt idx="0">
                  <c:v>4.875</c:v>
                </c:pt>
                <c:pt idx="1">
                  <c:v>4.875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FB-487F-ACB5-28C085C8BF2C}"/>
            </c:ext>
          </c:extLst>
        </c:ser>
        <c:ser>
          <c:idx val="4"/>
          <c:order val="4"/>
          <c:tx>
            <c:v>LEf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三面図!$G$23:$G$24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三面図!$I$23:$I$24</c:f>
              <c:numCache>
                <c:formatCode>General</c:formatCode>
                <c:ptCount val="2"/>
                <c:pt idx="0">
                  <c:v>4.29</c:v>
                </c:pt>
                <c:pt idx="1">
                  <c:v>4.4899999999999993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FB-487F-ACB5-28C085C8BF2C}"/>
            </c:ext>
          </c:extLst>
        </c:ser>
        <c:ser>
          <c:idx val="5"/>
          <c:order val="5"/>
          <c:tx>
            <c:v>TEf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三面図!$G$23:$G$24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三面図!$J$23:$J$24</c:f>
              <c:numCache>
                <c:formatCode>General</c:formatCode>
                <c:ptCount val="2"/>
                <c:pt idx="0">
                  <c:v>4.8899999999999997</c:v>
                </c:pt>
                <c:pt idx="1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FB-487F-ACB5-28C085C8BF2C}"/>
            </c:ext>
          </c:extLst>
        </c:ser>
        <c:ser>
          <c:idx val="6"/>
          <c:order val="6"/>
          <c:tx>
            <c:v>yW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三面図!$P$3:$P$16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3">
                  <c:v>2.5</c:v>
                </c:pt>
                <c:pt idx="4">
                  <c:v>2.5</c:v>
                </c:pt>
                <c:pt idx="6">
                  <c:v>7.5</c:v>
                </c:pt>
                <c:pt idx="7">
                  <c:v>7.5</c:v>
                </c:pt>
                <c:pt idx="9">
                  <c:v>12.5</c:v>
                </c:pt>
                <c:pt idx="10">
                  <c:v>12.5</c:v>
                </c:pt>
                <c:pt idx="12">
                  <c:v>13.5</c:v>
                </c:pt>
                <c:pt idx="13">
                  <c:v>13.5</c:v>
                </c:pt>
              </c:numCache>
            </c:numRef>
          </c:xVal>
          <c:yVal>
            <c:numRef>
              <c:f>三面図!$Q$3:$Q$16</c:f>
              <c:numCache>
                <c:formatCode>General</c:formatCode>
                <c:ptCount val="14"/>
                <c:pt idx="0">
                  <c:v>-0.24</c:v>
                </c:pt>
                <c:pt idx="1">
                  <c:v>0.56000000000000005</c:v>
                </c:pt>
                <c:pt idx="3">
                  <c:v>-0.24</c:v>
                </c:pt>
                <c:pt idx="4">
                  <c:v>0.56000000000000005</c:v>
                </c:pt>
                <c:pt idx="6">
                  <c:v>-0.21</c:v>
                </c:pt>
                <c:pt idx="7">
                  <c:v>0.49</c:v>
                </c:pt>
                <c:pt idx="9">
                  <c:v>-0.13500000000000001</c:v>
                </c:pt>
                <c:pt idx="10">
                  <c:v>0.315</c:v>
                </c:pt>
                <c:pt idx="12">
                  <c:v>-0.09</c:v>
                </c:pt>
                <c:pt idx="13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FB-487F-ACB5-28C085C8BF2C}"/>
            </c:ext>
          </c:extLst>
        </c:ser>
        <c:ser>
          <c:idx val="7"/>
          <c:order val="7"/>
          <c:tx>
            <c:v>yH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三面図!$S$3:$S$7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1.1000000000000001</c:v>
                </c:pt>
                <c:pt idx="4">
                  <c:v>1.1000000000000001</c:v>
                </c:pt>
              </c:numCache>
            </c:numRef>
          </c:xVal>
          <c:yVal>
            <c:numRef>
              <c:f>三面図!$T$3:$T$7</c:f>
              <c:numCache>
                <c:formatCode>General</c:formatCode>
                <c:ptCount val="5"/>
                <c:pt idx="0">
                  <c:v>4.375</c:v>
                </c:pt>
                <c:pt idx="1">
                  <c:v>4.875</c:v>
                </c:pt>
                <c:pt idx="3">
                  <c:v>4.375</c:v>
                </c:pt>
                <c:pt idx="4">
                  <c:v>4.875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FB-487F-ACB5-28C085C8BF2C}"/>
            </c:ext>
          </c:extLst>
        </c:ser>
        <c:ser>
          <c:idx val="8"/>
          <c:order val="8"/>
          <c:tx>
            <c:v>yF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三面図!$V$3:$V$7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三面図!$W$3:$W$7</c:f>
              <c:numCache>
                <c:formatCode>General</c:formatCode>
                <c:ptCount val="5"/>
                <c:pt idx="0">
                  <c:v>4.29</c:v>
                </c:pt>
                <c:pt idx="1">
                  <c:v>4.8899999999999997</c:v>
                </c:pt>
                <c:pt idx="3">
                  <c:v>4.4899999999999993</c:v>
                </c:pt>
                <c:pt idx="4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FB-487F-ACB5-28C085C8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800880"/>
        <c:axId val="1112798960"/>
      </c:scatterChart>
      <c:valAx>
        <c:axId val="1112800880"/>
        <c:scaling>
          <c:orientation val="minMax"/>
          <c:max val="14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1112798960"/>
        <c:crosses val="autoZero"/>
        <c:crossBetween val="midCat"/>
        <c:majorUnit val="1"/>
        <c:minorUnit val="0.1"/>
      </c:valAx>
      <c:valAx>
        <c:axId val="111279896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1112800880"/>
        <c:crosses val="autoZero"/>
        <c:crossBetween val="midCat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548648548120609"/>
          <c:y val="8.8893376814460245E-2"/>
          <c:w val="0.57182786461364199"/>
          <c:h val="0.73075131691770634"/>
        </c:manualLayout>
      </c:layout>
      <c:scatterChart>
        <c:scatterStyle val="lineMarker"/>
        <c:varyColors val="0"/>
        <c:ser>
          <c:idx val="0"/>
          <c:order val="0"/>
          <c:tx>
            <c:v>LEw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三面図!$M$4:$M$8</c:f>
              <c:numCache>
                <c:formatCode>General</c:formatCode>
                <c:ptCount val="5"/>
                <c:pt idx="0">
                  <c:v>0</c:v>
                </c:pt>
                <c:pt idx="1">
                  <c:v>3.4293552812071325E-2</c:v>
                </c:pt>
                <c:pt idx="2">
                  <c:v>0.30864197530864196</c:v>
                </c:pt>
                <c:pt idx="3">
                  <c:v>0.85733882030178321</c:v>
                </c:pt>
                <c:pt idx="4">
                  <c:v>0.99999999999999989</c:v>
                </c:pt>
              </c:numCache>
            </c:numRef>
          </c:xVal>
          <c:yVal>
            <c:numRef>
              <c:f>三面図!$I$4:$I$8</c:f>
              <c:numCache>
                <c:formatCode>General</c:formatCode>
                <c:ptCount val="5"/>
                <c:pt idx="0">
                  <c:v>-0.24</c:v>
                </c:pt>
                <c:pt idx="1">
                  <c:v>-0.24</c:v>
                </c:pt>
                <c:pt idx="2">
                  <c:v>-0.21</c:v>
                </c:pt>
                <c:pt idx="3">
                  <c:v>-0.13500000000000001</c:v>
                </c:pt>
                <c:pt idx="4">
                  <c:v>-0.09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E-4C8F-98E9-A7AADA5121D4}"/>
            </c:ext>
          </c:extLst>
        </c:ser>
        <c:ser>
          <c:idx val="1"/>
          <c:order val="1"/>
          <c:tx>
            <c:v>TEw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三面図!$M$4:$M$8</c:f>
              <c:numCache>
                <c:formatCode>General</c:formatCode>
                <c:ptCount val="5"/>
                <c:pt idx="0">
                  <c:v>0</c:v>
                </c:pt>
                <c:pt idx="1">
                  <c:v>3.4293552812071325E-2</c:v>
                </c:pt>
                <c:pt idx="2">
                  <c:v>0.30864197530864196</c:v>
                </c:pt>
                <c:pt idx="3">
                  <c:v>0.85733882030178321</c:v>
                </c:pt>
                <c:pt idx="4">
                  <c:v>0.99999999999999989</c:v>
                </c:pt>
              </c:numCache>
            </c:numRef>
          </c:xVal>
          <c:yVal>
            <c:numRef>
              <c:f>三面図!$J$4:$J$8</c:f>
              <c:numCache>
                <c:formatCode>General</c:formatCode>
                <c:ptCount val="5"/>
                <c:pt idx="0">
                  <c:v>0.56000000000000005</c:v>
                </c:pt>
                <c:pt idx="1">
                  <c:v>0.56000000000000005</c:v>
                </c:pt>
                <c:pt idx="2">
                  <c:v>0.49</c:v>
                </c:pt>
                <c:pt idx="3">
                  <c:v>0.315</c:v>
                </c:pt>
                <c:pt idx="4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E-4C8F-98E9-A7AADA5121D4}"/>
            </c:ext>
          </c:extLst>
        </c:ser>
        <c:ser>
          <c:idx val="2"/>
          <c:order val="2"/>
          <c:tx>
            <c:v>LEh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三面図!$M$12:$M$13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三面図!$I$12:$I$13</c:f>
              <c:numCache>
                <c:formatCode>General</c:formatCode>
                <c:ptCount val="2"/>
                <c:pt idx="0">
                  <c:v>4.375</c:v>
                </c:pt>
                <c:pt idx="1">
                  <c:v>4.375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3E-4C8F-98E9-A7AADA5121D4}"/>
            </c:ext>
          </c:extLst>
        </c:ser>
        <c:ser>
          <c:idx val="3"/>
          <c:order val="3"/>
          <c:tx>
            <c:v>TEh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三面図!$M$12:$M$13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三面図!$J$12:$J$13</c:f>
              <c:numCache>
                <c:formatCode>General</c:formatCode>
                <c:ptCount val="2"/>
                <c:pt idx="0">
                  <c:v>4.875</c:v>
                </c:pt>
                <c:pt idx="1">
                  <c:v>4.875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3E-4C8F-98E9-A7AADA5121D4}"/>
            </c:ext>
          </c:extLst>
        </c:ser>
        <c:ser>
          <c:idx val="4"/>
          <c:order val="4"/>
          <c:tx>
            <c:v>LEf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三面図!$M$23:$M$24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三面図!$I$23:$I$24</c:f>
              <c:numCache>
                <c:formatCode>General</c:formatCode>
                <c:ptCount val="2"/>
                <c:pt idx="0">
                  <c:v>4.29</c:v>
                </c:pt>
                <c:pt idx="1">
                  <c:v>4.4899999999999993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3E-4C8F-98E9-A7AADA5121D4}"/>
            </c:ext>
          </c:extLst>
        </c:ser>
        <c:ser>
          <c:idx val="5"/>
          <c:order val="5"/>
          <c:tx>
            <c:v>TEf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三面図!$M$23:$M$24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三面図!$J$23:$J$24</c:f>
              <c:numCache>
                <c:formatCode>General</c:formatCode>
                <c:ptCount val="2"/>
                <c:pt idx="0">
                  <c:v>4.8899999999999997</c:v>
                </c:pt>
                <c:pt idx="1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3E-4C8F-98E9-A7AADA5121D4}"/>
            </c:ext>
          </c:extLst>
        </c:ser>
        <c:ser>
          <c:idx val="6"/>
          <c:order val="6"/>
          <c:tx>
            <c:v>zW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三面図!$Y$3:$Y$16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3">
                  <c:v>3.4293552812071325E-2</c:v>
                </c:pt>
                <c:pt idx="4">
                  <c:v>3.4293552812071325E-2</c:v>
                </c:pt>
                <c:pt idx="6">
                  <c:v>0.30864197530864196</c:v>
                </c:pt>
                <c:pt idx="7">
                  <c:v>0.30864197530864196</c:v>
                </c:pt>
                <c:pt idx="9">
                  <c:v>0.85733882030178321</c:v>
                </c:pt>
                <c:pt idx="10">
                  <c:v>0.85733882030178321</c:v>
                </c:pt>
                <c:pt idx="12">
                  <c:v>0.99999999999999989</c:v>
                </c:pt>
                <c:pt idx="13">
                  <c:v>0.99999999999999989</c:v>
                </c:pt>
              </c:numCache>
            </c:numRef>
          </c:xVal>
          <c:yVal>
            <c:numRef>
              <c:f>三面図!$Z$3:$Z$16</c:f>
              <c:numCache>
                <c:formatCode>General</c:formatCode>
                <c:ptCount val="14"/>
                <c:pt idx="0">
                  <c:v>-0.24</c:v>
                </c:pt>
                <c:pt idx="1">
                  <c:v>0.56000000000000005</c:v>
                </c:pt>
                <c:pt idx="3">
                  <c:v>-0.24</c:v>
                </c:pt>
                <c:pt idx="4">
                  <c:v>0.56000000000000005</c:v>
                </c:pt>
                <c:pt idx="6">
                  <c:v>-0.21</c:v>
                </c:pt>
                <c:pt idx="7">
                  <c:v>0.49</c:v>
                </c:pt>
                <c:pt idx="9">
                  <c:v>-0.13500000000000001</c:v>
                </c:pt>
                <c:pt idx="10">
                  <c:v>0.315</c:v>
                </c:pt>
                <c:pt idx="12">
                  <c:v>-0.09</c:v>
                </c:pt>
                <c:pt idx="13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3E-4C8F-98E9-A7AADA5121D4}"/>
            </c:ext>
          </c:extLst>
        </c:ser>
        <c:ser>
          <c:idx val="7"/>
          <c:order val="7"/>
          <c:tx>
            <c:v>zH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三面図!$AB$3:$AB$7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三面図!$AC$3:$AC$7</c:f>
              <c:numCache>
                <c:formatCode>General</c:formatCode>
                <c:ptCount val="5"/>
                <c:pt idx="0">
                  <c:v>4.375</c:v>
                </c:pt>
                <c:pt idx="1">
                  <c:v>4.875</c:v>
                </c:pt>
                <c:pt idx="3">
                  <c:v>4.375</c:v>
                </c:pt>
                <c:pt idx="4">
                  <c:v>4.875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3E-4C8F-98E9-A7AADA5121D4}"/>
            </c:ext>
          </c:extLst>
        </c:ser>
        <c:ser>
          <c:idx val="8"/>
          <c:order val="8"/>
          <c:tx>
            <c:v>zF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三面図!$AE$3:$AE$7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0.8</c:v>
                </c:pt>
                <c:pt idx="4">
                  <c:v>0.8</c:v>
                </c:pt>
              </c:numCache>
            </c:numRef>
          </c:xVal>
          <c:yVal>
            <c:numRef>
              <c:f>三面図!$AF$3:$AF$7</c:f>
              <c:numCache>
                <c:formatCode>General</c:formatCode>
                <c:ptCount val="5"/>
                <c:pt idx="0">
                  <c:v>4.29</c:v>
                </c:pt>
                <c:pt idx="1">
                  <c:v>4.8899999999999997</c:v>
                </c:pt>
                <c:pt idx="3">
                  <c:v>4.4899999999999993</c:v>
                </c:pt>
                <c:pt idx="4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3E-4C8F-98E9-A7AADA512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800880"/>
        <c:axId val="1112798960"/>
      </c:scatterChart>
      <c:valAx>
        <c:axId val="1112800880"/>
        <c:scaling>
          <c:orientation val="minMax"/>
          <c:max val="3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1112798960"/>
        <c:crosses val="autoZero"/>
        <c:crossBetween val="midCat"/>
        <c:majorUnit val="1"/>
        <c:minorUnit val="0.1"/>
      </c:valAx>
      <c:valAx>
        <c:axId val="111279896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1112800880"/>
        <c:crosses val="autoZero"/>
        <c:crossBetween val="midCat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02961735046279"/>
          <c:y val="0.14152700186219738"/>
          <c:w val="0.84449078602016847"/>
          <c:h val="0.55322160148975796"/>
        </c:manualLayout>
      </c:layout>
      <c:scatterChart>
        <c:scatterStyle val="lineMarker"/>
        <c:varyColors val="0"/>
        <c:ser>
          <c:idx val="0"/>
          <c:order val="0"/>
          <c:tx>
            <c:v>LEw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三面図!$G$4:$G$8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13.5</c:v>
                </c:pt>
              </c:numCache>
            </c:numRef>
          </c:xVal>
          <c:yVal>
            <c:numRef>
              <c:f>三面図!$M$4:$M$8</c:f>
              <c:numCache>
                <c:formatCode>General</c:formatCode>
                <c:ptCount val="5"/>
                <c:pt idx="0">
                  <c:v>0</c:v>
                </c:pt>
                <c:pt idx="1">
                  <c:v>3.4293552812071325E-2</c:v>
                </c:pt>
                <c:pt idx="2">
                  <c:v>0.30864197530864196</c:v>
                </c:pt>
                <c:pt idx="3">
                  <c:v>0.85733882030178321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B5-471F-898A-0F1287A03C94}"/>
            </c:ext>
          </c:extLst>
        </c:ser>
        <c:ser>
          <c:idx val="1"/>
          <c:order val="1"/>
          <c:tx>
            <c:v>TEw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三面図!$G$4:$G$8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13.5</c:v>
                </c:pt>
              </c:numCache>
            </c:numRef>
          </c:xVal>
          <c:yVal>
            <c:numRef>
              <c:f>三面図!$M$4:$M$8</c:f>
              <c:numCache>
                <c:formatCode>General</c:formatCode>
                <c:ptCount val="5"/>
                <c:pt idx="0">
                  <c:v>0</c:v>
                </c:pt>
                <c:pt idx="1">
                  <c:v>3.4293552812071325E-2</c:v>
                </c:pt>
                <c:pt idx="2">
                  <c:v>0.30864197530864196</c:v>
                </c:pt>
                <c:pt idx="3">
                  <c:v>0.85733882030178321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B5-471F-898A-0F1287A03C94}"/>
            </c:ext>
          </c:extLst>
        </c:ser>
        <c:ser>
          <c:idx val="2"/>
          <c:order val="2"/>
          <c:tx>
            <c:v>LEh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三面図!$G$12:$G$13</c:f>
              <c:numCache>
                <c:formatCode>General</c:formatCode>
                <c:ptCount val="2"/>
                <c:pt idx="0">
                  <c:v>0</c:v>
                </c:pt>
                <c:pt idx="1">
                  <c:v>1.1000000000000001</c:v>
                </c:pt>
              </c:numCache>
            </c:numRef>
          </c:xVal>
          <c:yVal>
            <c:numRef>
              <c:f>三面図!$M$12:$M$13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B5-471F-898A-0F1287A03C94}"/>
            </c:ext>
          </c:extLst>
        </c:ser>
        <c:ser>
          <c:idx val="3"/>
          <c:order val="3"/>
          <c:tx>
            <c:v>TEh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三面図!$G$12:$G$13</c:f>
              <c:numCache>
                <c:formatCode>General</c:formatCode>
                <c:ptCount val="2"/>
                <c:pt idx="0">
                  <c:v>0</c:v>
                </c:pt>
                <c:pt idx="1">
                  <c:v>1.1000000000000001</c:v>
                </c:pt>
              </c:numCache>
            </c:numRef>
          </c:xVal>
          <c:yVal>
            <c:numRef>
              <c:f>三面図!$M$12:$M$13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B5-471F-898A-0F1287A03C94}"/>
            </c:ext>
          </c:extLst>
        </c:ser>
        <c:ser>
          <c:idx val="4"/>
          <c:order val="4"/>
          <c:tx>
            <c:v>LEf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三面図!$G$23:$G$24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三面図!$M$23:$M$24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B5-471F-898A-0F1287A03C94}"/>
            </c:ext>
          </c:extLst>
        </c:ser>
        <c:ser>
          <c:idx val="5"/>
          <c:order val="5"/>
          <c:tx>
            <c:v>TEf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三面図!$G$23:$G$24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三面図!$M$23:$M$24</c:f>
              <c:numCache>
                <c:formatCode>General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B5-471F-898A-0F1287A03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800880"/>
        <c:axId val="1112798960"/>
      </c:scatterChart>
      <c:valAx>
        <c:axId val="1112800880"/>
        <c:scaling>
          <c:orientation val="minMax"/>
          <c:max val="14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1112798960"/>
        <c:crosses val="autoZero"/>
        <c:crossBetween val="midCat"/>
        <c:majorUnit val="1"/>
        <c:minorUnit val="0.1"/>
      </c:valAx>
      <c:valAx>
        <c:axId val="1112798960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1112800880"/>
        <c:crosses val="autoZero"/>
        <c:crossBetween val="midCat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1</xdr:rowOff>
    </xdr:from>
    <xdr:to>
      <xdr:col>34</xdr:col>
      <xdr:colOff>0</xdr:colOff>
      <xdr:row>12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E44CF6-2D22-E378-1DC6-9A12D19A8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</xdr:colOff>
      <xdr:row>1</xdr:row>
      <xdr:rowOff>0</xdr:rowOff>
    </xdr:from>
    <xdr:to>
      <xdr:col>41</xdr:col>
      <xdr:colOff>0</xdr:colOff>
      <xdr:row>11</xdr:row>
      <xdr:rowOff>238124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1137DE0-8CEE-4589-BBFD-EFD213E72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12</xdr:row>
      <xdr:rowOff>0</xdr:rowOff>
    </xdr:from>
    <xdr:to>
      <xdr:col>34</xdr:col>
      <xdr:colOff>0</xdr:colOff>
      <xdr:row>19</xdr:row>
      <xdr:rowOff>38100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FB0A66A-D6B1-4559-866F-3640EFC2B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31"/>
  <sheetViews>
    <sheetView tabSelected="1" zoomScale="70" zoomScaleNormal="70" workbookViewId="0">
      <selection activeCell="I18" sqref="I18"/>
    </sheetView>
  </sheetViews>
  <sheetFormatPr defaultColWidth="3.08203125" defaultRowHeight="18.75" customHeight="1"/>
  <cols>
    <col min="1" max="1" width="9" style="1" customWidth="1"/>
    <col min="2" max="2" width="3.08203125" style="1" customWidth="1"/>
    <col min="3" max="14" width="9" style="1" customWidth="1"/>
    <col min="15" max="15" width="3.08203125" style="1" customWidth="1"/>
    <col min="16" max="16" width="3.08203125" style="1"/>
    <col min="17" max="17" width="3.08203125" style="1" customWidth="1"/>
    <col min="18" max="25" width="3.08203125" style="1"/>
    <col min="26" max="26" width="3.08203125" style="1" customWidth="1"/>
    <col min="27" max="16384" width="3.08203125" style="1"/>
  </cols>
  <sheetData>
    <row r="2" spans="2:32" ht="18.75" customHeight="1">
      <c r="B2" s="3" t="s">
        <v>0</v>
      </c>
      <c r="C2" s="4"/>
      <c r="D2" s="4"/>
      <c r="E2" s="5"/>
      <c r="G2" s="1" t="s">
        <v>0</v>
      </c>
      <c r="P2" s="1" t="s">
        <v>37</v>
      </c>
      <c r="Q2" s="1" t="s">
        <v>9</v>
      </c>
      <c r="S2" s="1" t="s">
        <v>37</v>
      </c>
      <c r="T2" s="1" t="s">
        <v>9</v>
      </c>
      <c r="V2" s="1" t="s">
        <v>37</v>
      </c>
      <c r="W2" s="1" t="s">
        <v>9</v>
      </c>
      <c r="Y2" s="1" t="s">
        <v>15</v>
      </c>
      <c r="Z2" s="1" t="s">
        <v>37</v>
      </c>
      <c r="AB2" s="1" t="s">
        <v>15</v>
      </c>
      <c r="AC2" s="1" t="s">
        <v>37</v>
      </c>
      <c r="AE2" s="1" t="s">
        <v>15</v>
      </c>
      <c r="AF2" s="1" t="s">
        <v>37</v>
      </c>
    </row>
    <row r="3" spans="2:32" ht="18.75" customHeight="1">
      <c r="B3" s="6"/>
      <c r="C3" s="7" t="s">
        <v>1</v>
      </c>
      <c r="D3" s="7">
        <f>2*((H4+H5)*(G5-G4)/2+(H5+H6)*(G6-G5)/2+(H6+H7)*(G7-G6)/2+(H7+H8)*(G8-G7)/2)</f>
        <v>18</v>
      </c>
      <c r="E3" s="7" t="s">
        <v>5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P3" s="1">
        <f>$G4</f>
        <v>0</v>
      </c>
      <c r="Q3" s="1">
        <f>$I4</f>
        <v>-0.24</v>
      </c>
      <c r="S3" s="1">
        <f>$G12</f>
        <v>0</v>
      </c>
      <c r="T3" s="1">
        <f>$I12</f>
        <v>4.375</v>
      </c>
      <c r="V3" s="1">
        <f>$G23</f>
        <v>0</v>
      </c>
      <c r="W3" s="1">
        <f>$I23</f>
        <v>4.29</v>
      </c>
      <c r="Y3" s="1">
        <f>$M4</f>
        <v>0</v>
      </c>
      <c r="Z3" s="1">
        <f>$I4</f>
        <v>-0.24</v>
      </c>
      <c r="AB3" s="1">
        <f>$M12</f>
        <v>0</v>
      </c>
      <c r="AC3" s="1">
        <f>$I12</f>
        <v>4.375</v>
      </c>
      <c r="AE3" s="1">
        <f>$M23</f>
        <v>0</v>
      </c>
      <c r="AF3" s="1">
        <f>$I23</f>
        <v>4.29</v>
      </c>
    </row>
    <row r="4" spans="2:32" ht="18.75" customHeight="1">
      <c r="B4" s="6"/>
      <c r="C4" s="7" t="s">
        <v>2</v>
      </c>
      <c r="D4" s="7">
        <f>MAX(G4:G8)*2</f>
        <v>27</v>
      </c>
      <c r="E4" s="7" t="s">
        <v>6</v>
      </c>
      <c r="G4" s="2">
        <v>0</v>
      </c>
      <c r="H4" s="2">
        <v>0.8</v>
      </c>
      <c r="I4" s="2">
        <f>-H4*$D$8</f>
        <v>-0.24</v>
      </c>
      <c r="J4" s="2">
        <f>+I4+H4</f>
        <v>0.56000000000000005</v>
      </c>
      <c r="K4" s="2">
        <f>H4^2</f>
        <v>0.64000000000000012</v>
      </c>
      <c r="L4" s="2">
        <f>H4*G4</f>
        <v>0</v>
      </c>
      <c r="M4" s="2">
        <f>(wtip/((bW/2)^2))*G4^2</f>
        <v>0</v>
      </c>
      <c r="P4" s="1">
        <f>P3</f>
        <v>0</v>
      </c>
      <c r="Q4" s="1">
        <f>$J4</f>
        <v>0.56000000000000005</v>
      </c>
      <c r="S4" s="1">
        <f>S3</f>
        <v>0</v>
      </c>
      <c r="T4" s="1">
        <f>$J12</f>
        <v>4.875</v>
      </c>
      <c r="V4" s="1">
        <f>V3</f>
        <v>0</v>
      </c>
      <c r="W4" s="1">
        <f>$J23</f>
        <v>4.8899999999999997</v>
      </c>
      <c r="Y4" s="1">
        <f>Y3</f>
        <v>0</v>
      </c>
      <c r="Z4" s="1">
        <f>$J4</f>
        <v>0.56000000000000005</v>
      </c>
      <c r="AB4" s="1">
        <f>AB3</f>
        <v>0</v>
      </c>
      <c r="AC4" s="1">
        <f>$J12</f>
        <v>4.875</v>
      </c>
      <c r="AE4" s="1">
        <f>AE3</f>
        <v>0</v>
      </c>
      <c r="AF4" s="1">
        <f>$J23</f>
        <v>4.8899999999999997</v>
      </c>
    </row>
    <row r="5" spans="2:32" ht="18.75" customHeight="1">
      <c r="B5" s="6"/>
      <c r="C5" s="7" t="s">
        <v>7</v>
      </c>
      <c r="D5" s="7">
        <f>bW*bW/Sw</f>
        <v>40.5</v>
      </c>
      <c r="E5" s="7" t="s">
        <v>8</v>
      </c>
      <c r="G5" s="2">
        <v>2.5</v>
      </c>
      <c r="H5" s="2">
        <v>0.8</v>
      </c>
      <c r="I5" s="2">
        <f t="shared" ref="I5:I8" si="0">-H5*$D$8</f>
        <v>-0.24</v>
      </c>
      <c r="J5" s="2">
        <f t="shared" ref="J5:J8" si="1">+I5+H5</f>
        <v>0.56000000000000005</v>
      </c>
      <c r="K5" s="2">
        <f t="shared" ref="K5:K8" si="2">H5^2</f>
        <v>0.64000000000000012</v>
      </c>
      <c r="L5" s="2">
        <f t="shared" ref="L5:L8" si="3">H5*G5</f>
        <v>2</v>
      </c>
      <c r="M5" s="2">
        <f>(wtip/((bW/2)^2))*G5^2</f>
        <v>3.4293552812071325E-2</v>
      </c>
    </row>
    <row r="6" spans="2:32" ht="18.75" customHeight="1">
      <c r="B6" s="6"/>
      <c r="C6" s="7" t="s">
        <v>3</v>
      </c>
      <c r="D6" s="7">
        <f>(2/Sw)*((K4+K5)*(G5-G4)/2+(K5+K6)*(G6-G5)/2+(K6+K7)*(G7-G6)/2+(K7+K8)*(G8-G7)/2)</f>
        <v>0.70027777777777778</v>
      </c>
      <c r="E6" s="7" t="s">
        <v>6</v>
      </c>
      <c r="G6" s="2">
        <v>7.5</v>
      </c>
      <c r="H6" s="2">
        <v>0.7</v>
      </c>
      <c r="I6" s="2">
        <f t="shared" si="0"/>
        <v>-0.21</v>
      </c>
      <c r="J6" s="2">
        <f t="shared" si="1"/>
        <v>0.49</v>
      </c>
      <c r="K6" s="2">
        <f t="shared" si="2"/>
        <v>0.48999999999999994</v>
      </c>
      <c r="L6" s="2">
        <f t="shared" si="3"/>
        <v>5.25</v>
      </c>
      <c r="M6" s="2">
        <f>(wtip/((bW/2)^2))*G6^2</f>
        <v>0.30864197530864196</v>
      </c>
      <c r="P6" s="1">
        <f>$G5</f>
        <v>2.5</v>
      </c>
      <c r="Q6" s="1">
        <f>$I5</f>
        <v>-0.24</v>
      </c>
      <c r="S6" s="1">
        <f>$G13</f>
        <v>1.1000000000000001</v>
      </c>
      <c r="T6" s="1">
        <f>$I13</f>
        <v>4.375</v>
      </c>
      <c r="V6" s="1">
        <f>$G24</f>
        <v>0</v>
      </c>
      <c r="W6" s="1">
        <f>$I24</f>
        <v>4.4899999999999993</v>
      </c>
      <c r="Y6" s="1">
        <f>$M5</f>
        <v>3.4293552812071325E-2</v>
      </c>
      <c r="Z6" s="1">
        <f>$I5</f>
        <v>-0.24</v>
      </c>
      <c r="AB6" s="1">
        <f>$M13</f>
        <v>0</v>
      </c>
      <c r="AC6" s="1">
        <f>$I13</f>
        <v>4.375</v>
      </c>
      <c r="AE6" s="1">
        <f>$M24</f>
        <v>0.8</v>
      </c>
      <c r="AF6" s="1">
        <f>$I24</f>
        <v>4.4899999999999993</v>
      </c>
    </row>
    <row r="7" spans="2:32" ht="18.75" customHeight="1">
      <c r="B7" s="6"/>
      <c r="C7" s="7" t="s">
        <v>4</v>
      </c>
      <c r="D7" s="7">
        <f>(2/Sw)*((L5+L4)*(G5-G4)/2+(L6+L5)*(G6-G5)/2+(L7+L6)*(G7-G6)/2+(L8+L7)*(G8-G7)/2)</f>
        <v>5.85</v>
      </c>
      <c r="E7" s="7" t="s">
        <v>6</v>
      </c>
      <c r="G7" s="2">
        <v>12.5</v>
      </c>
      <c r="H7" s="2">
        <v>0.45</v>
      </c>
      <c r="I7" s="2">
        <f t="shared" si="0"/>
        <v>-0.13500000000000001</v>
      </c>
      <c r="J7" s="2">
        <f t="shared" si="1"/>
        <v>0.315</v>
      </c>
      <c r="K7" s="2">
        <f t="shared" si="2"/>
        <v>0.20250000000000001</v>
      </c>
      <c r="L7" s="2">
        <f t="shared" si="3"/>
        <v>5.625</v>
      </c>
      <c r="M7" s="2">
        <f>(wtip/((bW/2)^2))*G7^2</f>
        <v>0.85733882030178321</v>
      </c>
      <c r="P7" s="1">
        <f>P6</f>
        <v>2.5</v>
      </c>
      <c r="Q7" s="1">
        <f>$J5</f>
        <v>0.56000000000000005</v>
      </c>
      <c r="S7" s="1">
        <f>S6</f>
        <v>1.1000000000000001</v>
      </c>
      <c r="T7" s="1">
        <f>$J13</f>
        <v>4.875</v>
      </c>
      <c r="V7" s="1">
        <f>V6</f>
        <v>0</v>
      </c>
      <c r="W7" s="1">
        <f>$J24</f>
        <v>4.8899999999999997</v>
      </c>
      <c r="Y7" s="1">
        <f>Y6</f>
        <v>3.4293552812071325E-2</v>
      </c>
      <c r="Z7" s="1">
        <f>$J5</f>
        <v>0.56000000000000005</v>
      </c>
      <c r="AB7" s="1">
        <f>AB6</f>
        <v>0</v>
      </c>
      <c r="AC7" s="1">
        <f>$J13</f>
        <v>4.875</v>
      </c>
      <c r="AE7" s="1">
        <f>AE6</f>
        <v>0.8</v>
      </c>
      <c r="AF7" s="1">
        <f>$J24</f>
        <v>4.8899999999999997</v>
      </c>
    </row>
    <row r="8" spans="2:32" ht="18.75" customHeight="1">
      <c r="B8" s="6"/>
      <c r="C8" s="7" t="s">
        <v>38</v>
      </c>
      <c r="D8" s="7">
        <v>0.3</v>
      </c>
      <c r="E8" s="7" t="s">
        <v>8</v>
      </c>
      <c r="G8" s="2">
        <v>13.5</v>
      </c>
      <c r="H8" s="2">
        <v>0.3</v>
      </c>
      <c r="I8" s="2">
        <f t="shared" si="0"/>
        <v>-0.09</v>
      </c>
      <c r="J8" s="2">
        <f t="shared" si="1"/>
        <v>0.21</v>
      </c>
      <c r="K8" s="2">
        <f t="shared" si="2"/>
        <v>0.09</v>
      </c>
      <c r="L8" s="2">
        <f t="shared" si="3"/>
        <v>4.05</v>
      </c>
      <c r="M8" s="2">
        <f>(wtip/((bW/2)^2))*G8^2</f>
        <v>0.99999999999999989</v>
      </c>
    </row>
    <row r="9" spans="2:32" ht="18.75" customHeight="1">
      <c r="B9" s="8"/>
      <c r="C9" s="7" t="s">
        <v>16</v>
      </c>
      <c r="D9" s="7">
        <v>1</v>
      </c>
      <c r="E9" s="7" t="s">
        <v>6</v>
      </c>
      <c r="P9" s="1">
        <f>$G6</f>
        <v>7.5</v>
      </c>
      <c r="Q9" s="1">
        <f>$I6</f>
        <v>-0.21</v>
      </c>
      <c r="Y9" s="1">
        <f>$M6</f>
        <v>0.30864197530864196</v>
      </c>
      <c r="Z9" s="1">
        <f>$I6</f>
        <v>-0.21</v>
      </c>
    </row>
    <row r="10" spans="2:32" ht="18.75" customHeight="1">
      <c r="B10" s="3" t="s">
        <v>42</v>
      </c>
      <c r="C10" s="4"/>
      <c r="D10" s="4"/>
      <c r="E10" s="5"/>
      <c r="G10" s="1" t="s">
        <v>17</v>
      </c>
      <c r="P10" s="1">
        <f>P9</f>
        <v>7.5</v>
      </c>
      <c r="Q10" s="1">
        <f>$J6</f>
        <v>0.49</v>
      </c>
      <c r="Y10" s="1">
        <f>Y9</f>
        <v>0.30864197530864196</v>
      </c>
      <c r="Z10" s="1">
        <f>$J6</f>
        <v>0.49</v>
      </c>
    </row>
    <row r="11" spans="2:32" ht="18.75" customHeight="1">
      <c r="B11" s="6"/>
      <c r="C11" s="7" t="s">
        <v>19</v>
      </c>
      <c r="D11" s="7">
        <f>2*((H12+H13)*(G13-G12)/2)</f>
        <v>1.1000000000000001</v>
      </c>
      <c r="E11" s="7" t="s">
        <v>5</v>
      </c>
      <c r="G11" s="2" t="s">
        <v>9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14</v>
      </c>
      <c r="M11" s="2" t="s">
        <v>15</v>
      </c>
    </row>
    <row r="12" spans="2:32" ht="18.75" customHeight="1">
      <c r="B12" s="6"/>
      <c r="C12" s="7" t="s">
        <v>18</v>
      </c>
      <c r="D12" s="7">
        <f>MAX(G12:G17)*2</f>
        <v>2.2000000000000002</v>
      </c>
      <c r="E12" s="7" t="s">
        <v>6</v>
      </c>
      <c r="G12" s="2">
        <v>0</v>
      </c>
      <c r="H12" s="2">
        <f>D17</f>
        <v>0.5</v>
      </c>
      <c r="I12" s="2">
        <f>-H12*$D$16+lH+MACh*(D16-0.25)</f>
        <v>4.375</v>
      </c>
      <c r="J12" s="2">
        <f>+I12+H12</f>
        <v>4.875</v>
      </c>
      <c r="K12" s="2">
        <f>H12^2</f>
        <v>0.25</v>
      </c>
      <c r="L12" s="2">
        <f>H12*G12</f>
        <v>0</v>
      </c>
      <c r="M12" s="2">
        <f>(wtip/((bW/2)^2))*G12^2</f>
        <v>0</v>
      </c>
      <c r="P12" s="1">
        <f>$G7</f>
        <v>12.5</v>
      </c>
      <c r="Q12" s="1">
        <f>$I7</f>
        <v>-0.13500000000000001</v>
      </c>
      <c r="Y12" s="1">
        <f>$M7</f>
        <v>0.85733882030178321</v>
      </c>
      <c r="Z12" s="1">
        <f>$I7</f>
        <v>-0.13500000000000001</v>
      </c>
    </row>
    <row r="13" spans="2:32" ht="18.75" customHeight="1">
      <c r="B13" s="6"/>
      <c r="C13" s="7" t="s">
        <v>26</v>
      </c>
      <c r="D13" s="7">
        <f>bH*bH/SH</f>
        <v>4.4000000000000004</v>
      </c>
      <c r="E13" s="7" t="s">
        <v>8</v>
      </c>
      <c r="G13" s="2">
        <v>1.1000000000000001</v>
      </c>
      <c r="H13" s="2">
        <f>H12</f>
        <v>0.5</v>
      </c>
      <c r="I13" s="2">
        <f>-H13*$D$16+lH+MACh*(D16-0.25)</f>
        <v>4.375</v>
      </c>
      <c r="J13" s="2">
        <f t="shared" ref="J13" si="4">+I13+H13</f>
        <v>4.875</v>
      </c>
      <c r="K13" s="2">
        <f t="shared" ref="K13" si="5">H13^2</f>
        <v>0.25</v>
      </c>
      <c r="L13" s="2">
        <f t="shared" ref="L13" si="6">H13*G13</f>
        <v>0.55000000000000004</v>
      </c>
      <c r="M13" s="2">
        <v>0</v>
      </c>
      <c r="P13" s="1">
        <f>P12</f>
        <v>12.5</v>
      </c>
      <c r="Q13" s="1">
        <f>$J7</f>
        <v>0.315</v>
      </c>
      <c r="Y13" s="1">
        <f>Y12</f>
        <v>0.85733882030178321</v>
      </c>
      <c r="Z13" s="1">
        <f>$J7</f>
        <v>0.315</v>
      </c>
    </row>
    <row r="14" spans="2:32" ht="18.75" customHeight="1">
      <c r="B14" s="6"/>
      <c r="C14" s="7" t="s">
        <v>20</v>
      </c>
      <c r="D14" s="7">
        <f>(2/SH)*((K12+K13)*(G13-G12)/2)</f>
        <v>0.5</v>
      </c>
      <c r="E14" s="7" t="s">
        <v>6</v>
      </c>
    </row>
    <row r="15" spans="2:32" ht="18.75" customHeight="1">
      <c r="B15" s="6"/>
      <c r="C15" s="7" t="s">
        <v>21</v>
      </c>
      <c r="D15" s="7">
        <f>(2/SH)*((L13+L12)*(G13-G12)/2)</f>
        <v>0.55000000000000004</v>
      </c>
      <c r="E15" s="7" t="s">
        <v>6</v>
      </c>
      <c r="P15" s="1">
        <f>$G8</f>
        <v>13.5</v>
      </c>
      <c r="Q15" s="1">
        <f>$I8</f>
        <v>-0.09</v>
      </c>
      <c r="Y15" s="1">
        <f>$M8</f>
        <v>0.99999999999999989</v>
      </c>
      <c r="Z15" s="1">
        <f>$I8</f>
        <v>-0.09</v>
      </c>
    </row>
    <row r="16" spans="2:32" ht="18.75" customHeight="1">
      <c r="B16" s="6"/>
      <c r="C16" s="7" t="s">
        <v>38</v>
      </c>
      <c r="D16" s="7">
        <v>0.25</v>
      </c>
      <c r="E16" s="7" t="s">
        <v>8</v>
      </c>
      <c r="G16" s="1" t="s">
        <v>44</v>
      </c>
      <c r="H16" s="1">
        <v>100</v>
      </c>
      <c r="I16" s="1" t="s">
        <v>45</v>
      </c>
      <c r="P16" s="1">
        <f>P15</f>
        <v>13.5</v>
      </c>
      <c r="Q16" s="1">
        <f>$J8</f>
        <v>0.21</v>
      </c>
      <c r="Y16" s="1">
        <f>Y15</f>
        <v>0.99999999999999989</v>
      </c>
      <c r="Z16" s="1">
        <f>$J8</f>
        <v>0.21</v>
      </c>
    </row>
    <row r="17" spans="2:13" ht="18.75" customHeight="1">
      <c r="B17" s="6"/>
      <c r="C17" s="7" t="s">
        <v>22</v>
      </c>
      <c r="D17" s="7">
        <v>0.5</v>
      </c>
      <c r="E17" s="7" t="s">
        <v>6</v>
      </c>
      <c r="G17" s="1" t="s">
        <v>46</v>
      </c>
      <c r="H17" s="1">
        <f>(H16*9.8)/(0.5*1.225*H18*H18*Sw)</f>
        <v>0.88888888888888895</v>
      </c>
      <c r="I17" s="1" t="s">
        <v>8</v>
      </c>
    </row>
    <row r="18" spans="2:13" ht="18.75" customHeight="1">
      <c r="B18" s="6"/>
      <c r="C18" s="7" t="s">
        <v>23</v>
      </c>
      <c r="D18" s="7">
        <v>4.5</v>
      </c>
      <c r="E18" s="7" t="s">
        <v>6</v>
      </c>
      <c r="G18" s="1" t="s">
        <v>47</v>
      </c>
      <c r="H18" s="1">
        <v>10</v>
      </c>
      <c r="I18" s="1" t="s">
        <v>48</v>
      </c>
    </row>
    <row r="19" spans="2:13" ht="18.75" customHeight="1">
      <c r="B19" s="6"/>
      <c r="C19" s="7" t="s">
        <v>24</v>
      </c>
      <c r="D19" s="7">
        <v>0</v>
      </c>
      <c r="E19" s="7" t="s">
        <v>6</v>
      </c>
    </row>
    <row r="20" spans="2:13" ht="18.75" customHeight="1">
      <c r="B20" s="8"/>
      <c r="C20" s="7" t="s">
        <v>25</v>
      </c>
      <c r="D20" s="7" cm="1">
        <f t="array" ref="D20">(SH*lH)/(Sw*MACw)</f>
        <v>0.39270130900436334</v>
      </c>
      <c r="E20" s="7" t="s">
        <v>8</v>
      </c>
    </row>
    <row r="21" spans="2:13" ht="18.75" customHeight="1">
      <c r="B21" s="3" t="s">
        <v>43</v>
      </c>
      <c r="C21" s="4"/>
      <c r="D21" s="4"/>
      <c r="E21" s="5"/>
      <c r="G21" s="1" t="s">
        <v>36</v>
      </c>
    </row>
    <row r="22" spans="2:13" ht="18.75" customHeight="1">
      <c r="B22" s="6"/>
      <c r="C22" s="7" t="s">
        <v>27</v>
      </c>
      <c r="D22" s="7">
        <f>2*((H23+H24)*(M24-M23)/2)</f>
        <v>0.8</v>
      </c>
      <c r="E22" s="7" t="s">
        <v>5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</row>
    <row r="23" spans="2:13" ht="18.75" customHeight="1">
      <c r="B23" s="6"/>
      <c r="C23" s="7" t="s">
        <v>28</v>
      </c>
      <c r="D23" s="7">
        <f>MAX(M23:M24)*2</f>
        <v>1.6</v>
      </c>
      <c r="E23" s="7" t="s">
        <v>6</v>
      </c>
      <c r="G23" s="2">
        <v>0</v>
      </c>
      <c r="H23" s="2">
        <v>0.6</v>
      </c>
      <c r="I23" s="2">
        <f>-H23*$D$27+lF+MACf*(D27-0.25)</f>
        <v>4.29</v>
      </c>
      <c r="J23" s="2">
        <f>+I23+H23</f>
        <v>4.8899999999999997</v>
      </c>
      <c r="K23" s="2">
        <f>H23^2</f>
        <v>0.36</v>
      </c>
      <c r="L23" s="2">
        <f>H23*M23</f>
        <v>0</v>
      </c>
      <c r="M23" s="2">
        <f>(wtip/((bW/2)^2))*G23^2</f>
        <v>0</v>
      </c>
    </row>
    <row r="24" spans="2:13" ht="18.75" customHeight="1">
      <c r="B24" s="6"/>
      <c r="C24" s="7" t="s">
        <v>35</v>
      </c>
      <c r="D24" s="7">
        <f>bF*bF/SF</f>
        <v>3.2000000000000006</v>
      </c>
      <c r="E24" s="7" t="s">
        <v>8</v>
      </c>
      <c r="G24" s="2">
        <v>0</v>
      </c>
      <c r="H24" s="2">
        <v>0.4</v>
      </c>
      <c r="I24" s="2">
        <f>-H24*$D$27+lF+MACf*(D27-0.25)</f>
        <v>4.4899999999999993</v>
      </c>
      <c r="J24" s="2">
        <f t="shared" ref="J24" si="7">+I24+H24</f>
        <v>4.8899999999999997</v>
      </c>
      <c r="K24" s="2">
        <f t="shared" ref="K24" si="8">H24^2</f>
        <v>0.16000000000000003</v>
      </c>
      <c r="L24" s="2">
        <f>H24*M24</f>
        <v>0.32000000000000006</v>
      </c>
      <c r="M24" s="2">
        <v>0.8</v>
      </c>
    </row>
    <row r="25" spans="2:13" ht="18.75" customHeight="1">
      <c r="B25" s="6"/>
      <c r="C25" s="7" t="s">
        <v>29</v>
      </c>
      <c r="D25" s="7">
        <f>(2/SF)*((K23+K24)*(M24-M23)/2)</f>
        <v>0.52</v>
      </c>
      <c r="E25" s="7" t="s">
        <v>6</v>
      </c>
    </row>
    <row r="26" spans="2:13" ht="18.75" customHeight="1">
      <c r="B26" s="6"/>
      <c r="C26" s="7" t="s">
        <v>30</v>
      </c>
      <c r="D26" s="7">
        <f>(2/SF)*((L24+L23)*(M24-M23)/2)</f>
        <v>0.32000000000000006</v>
      </c>
      <c r="E26" s="7" t="s">
        <v>6</v>
      </c>
    </row>
    <row r="27" spans="2:13" ht="18.75" customHeight="1">
      <c r="B27" s="6"/>
      <c r="C27" s="7" t="s">
        <v>38</v>
      </c>
      <c r="D27" s="7">
        <v>1</v>
      </c>
      <c r="E27" s="7" t="s">
        <v>8</v>
      </c>
    </row>
    <row r="28" spans="2:13" ht="18.75" customHeight="1">
      <c r="B28" s="6"/>
      <c r="C28" s="7" t="s">
        <v>31</v>
      </c>
      <c r="D28" s="7">
        <v>0.5</v>
      </c>
      <c r="E28" s="7" t="s">
        <v>6</v>
      </c>
    </row>
    <row r="29" spans="2:13" ht="18.75" customHeight="1">
      <c r="B29" s="6"/>
      <c r="C29" s="7" t="s">
        <v>32</v>
      </c>
      <c r="D29" s="7">
        <v>4.5</v>
      </c>
      <c r="E29" s="7" t="s">
        <v>6</v>
      </c>
    </row>
    <row r="30" spans="2:13" ht="18.75" customHeight="1">
      <c r="B30" s="6"/>
      <c r="C30" s="7" t="s">
        <v>33</v>
      </c>
      <c r="D30" s="7">
        <v>0</v>
      </c>
      <c r="E30" s="7" t="s">
        <v>6</v>
      </c>
    </row>
    <row r="31" spans="2:13" ht="18.75" customHeight="1">
      <c r="B31" s="8"/>
      <c r="C31" s="7" t="s">
        <v>34</v>
      </c>
      <c r="D31" s="7">
        <f>(SF/2*lF)/(Sw*bW)</f>
        <v>3.7037037037037038E-3</v>
      </c>
      <c r="E31" s="7" t="s">
        <v>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1FC2-9AE5-402E-AA1A-58AC711F5C91}">
  <dimension ref="A1:K6"/>
  <sheetViews>
    <sheetView workbookViewId="0"/>
  </sheetViews>
  <sheetFormatPr defaultRowHeight="18"/>
  <sheetData>
    <row r="1" spans="1:11">
      <c r="A1" t="s">
        <v>0</v>
      </c>
    </row>
    <row r="2" spans="1:11">
      <c r="A2">
        <f>三面図!G4</f>
        <v>0</v>
      </c>
      <c r="B2">
        <f>三面図!H4</f>
        <v>0.8</v>
      </c>
      <c r="C2">
        <f>三面図!I4</f>
        <v>-0.24</v>
      </c>
      <c r="D2">
        <f>DEGREES(ATAN((三面図!M5-三面図!M4)/(三面図!G5-三面図!G4)))</f>
        <v>0.78590104501391334</v>
      </c>
      <c r="E2">
        <v>0</v>
      </c>
      <c r="F2">
        <v>50</v>
      </c>
      <c r="G2">
        <v>24</v>
      </c>
      <c r="H2">
        <v>1</v>
      </c>
      <c r="I2">
        <v>0</v>
      </c>
      <c r="J2" t="s">
        <v>39</v>
      </c>
      <c r="K2" t="s">
        <v>39</v>
      </c>
    </row>
    <row r="3" spans="1:11">
      <c r="A3">
        <f>三面図!G5</f>
        <v>2.5</v>
      </c>
      <c r="B3">
        <f>三面図!H5</f>
        <v>0.8</v>
      </c>
      <c r="C3">
        <f>三面図!I5</f>
        <v>-0.24</v>
      </c>
      <c r="D3">
        <f>DEGREES(ATAN((三面図!M6-三面図!M5)/(三面図!G6-三面図!G5)))</f>
        <v>3.1406520363473378</v>
      </c>
      <c r="E3">
        <v>0</v>
      </c>
      <c r="F3">
        <v>50</v>
      </c>
      <c r="G3">
        <v>24</v>
      </c>
      <c r="H3">
        <v>1</v>
      </c>
      <c r="I3">
        <v>0</v>
      </c>
      <c r="J3" t="s">
        <v>39</v>
      </c>
      <c r="K3" t="s">
        <v>39</v>
      </c>
    </row>
    <row r="4" spans="1:11">
      <c r="A4">
        <f>三面図!G6</f>
        <v>7.5</v>
      </c>
      <c r="B4">
        <f>三面図!H6</f>
        <v>0.7</v>
      </c>
      <c r="C4">
        <f>三面図!I6</f>
        <v>-0.21</v>
      </c>
      <c r="D4">
        <f>DEGREES(ATAN((三面図!M7-三面図!M6)/(三面図!G7-三面図!G6)))</f>
        <v>6.2625435453486586</v>
      </c>
      <c r="E4">
        <v>0</v>
      </c>
      <c r="F4">
        <v>50</v>
      </c>
      <c r="G4">
        <v>24</v>
      </c>
      <c r="H4">
        <v>1</v>
      </c>
      <c r="I4">
        <v>0</v>
      </c>
      <c r="J4" t="s">
        <v>39</v>
      </c>
      <c r="K4" t="s">
        <v>39</v>
      </c>
    </row>
    <row r="5" spans="1:11">
      <c r="A5">
        <f>三面図!G7</f>
        <v>12.5</v>
      </c>
      <c r="B5">
        <f>三面図!H7</f>
        <v>0.45</v>
      </c>
      <c r="C5">
        <f>三面図!I7</f>
        <v>-0.13500000000000001</v>
      </c>
      <c r="D5">
        <f>DEGREES(ATAN((三面図!M8-三面図!M7)/(三面図!G8-三面図!G7)))</f>
        <v>8.1190987477014591</v>
      </c>
      <c r="E5">
        <v>0</v>
      </c>
      <c r="F5">
        <v>50</v>
      </c>
      <c r="G5">
        <v>12</v>
      </c>
      <c r="H5">
        <v>1</v>
      </c>
      <c r="I5">
        <v>0</v>
      </c>
      <c r="J5" t="s">
        <v>39</v>
      </c>
      <c r="K5" t="s">
        <v>39</v>
      </c>
    </row>
    <row r="6" spans="1:11">
      <c r="A6">
        <f>三面図!G8</f>
        <v>13.5</v>
      </c>
      <c r="B6">
        <f>三面図!H8</f>
        <v>0.3</v>
      </c>
      <c r="C6">
        <f>三面図!I8</f>
        <v>-0.09</v>
      </c>
      <c r="D6">
        <f>D5</f>
        <v>8.1190987477014591</v>
      </c>
      <c r="E6">
        <v>0</v>
      </c>
      <c r="F6">
        <v>50</v>
      </c>
      <c r="G6">
        <v>6</v>
      </c>
      <c r="H6">
        <v>1</v>
      </c>
      <c r="I6">
        <v>0</v>
      </c>
      <c r="J6" t="s">
        <v>39</v>
      </c>
      <c r="K6" t="s">
        <v>39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2F9B-5F29-41D2-8EC5-86298D28C517}">
  <dimension ref="A1:K3"/>
  <sheetViews>
    <sheetView workbookViewId="0"/>
  </sheetViews>
  <sheetFormatPr defaultRowHeight="18"/>
  <sheetData>
    <row r="1" spans="1:11">
      <c r="A1" t="s">
        <v>17</v>
      </c>
    </row>
    <row r="2" spans="1:11">
      <c r="A2">
        <f>三面図!G12</f>
        <v>0</v>
      </c>
      <c r="B2">
        <f>三面図!H12</f>
        <v>0.5</v>
      </c>
      <c r="C2">
        <f>三面図!I12</f>
        <v>4.375</v>
      </c>
      <c r="D2">
        <f>DEGREES(ATAN((三面図!M13-三面図!M12)/(三面図!G13-三面図!G12)))</f>
        <v>0</v>
      </c>
      <c r="E2">
        <v>0</v>
      </c>
      <c r="F2">
        <v>50</v>
      </c>
      <c r="G2">
        <v>10</v>
      </c>
      <c r="H2">
        <v>1</v>
      </c>
      <c r="I2">
        <v>0</v>
      </c>
      <c r="J2" t="s">
        <v>40</v>
      </c>
      <c r="K2" t="s">
        <v>40</v>
      </c>
    </row>
    <row r="3" spans="1:11">
      <c r="A3">
        <f>三面図!G13</f>
        <v>1.1000000000000001</v>
      </c>
      <c r="B3">
        <f>三面図!H13</f>
        <v>0.5</v>
      </c>
      <c r="C3">
        <f>三面図!I13</f>
        <v>4.375</v>
      </c>
      <c r="D3">
        <f>DEGREES(ATAN((三面図!M14-三面図!M13)/(三面図!G14-三面図!G13)))</f>
        <v>0</v>
      </c>
      <c r="E3">
        <v>0</v>
      </c>
      <c r="F3">
        <v>50</v>
      </c>
      <c r="G3">
        <v>10</v>
      </c>
      <c r="H3">
        <v>1</v>
      </c>
      <c r="I3">
        <v>0</v>
      </c>
      <c r="J3" t="s">
        <v>40</v>
      </c>
      <c r="K3" t="s">
        <v>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526F-DD94-40AC-97A2-43CD16086CAC}">
  <dimension ref="A1:K3"/>
  <sheetViews>
    <sheetView workbookViewId="0">
      <selection activeCell="A2" sqref="A2"/>
    </sheetView>
  </sheetViews>
  <sheetFormatPr defaultRowHeight="18"/>
  <sheetData>
    <row r="1" spans="1:11">
      <c r="A1" t="s">
        <v>36</v>
      </c>
    </row>
    <row r="2" spans="1:11">
      <c r="A2">
        <f>三面図!M23</f>
        <v>0</v>
      </c>
      <c r="B2">
        <f>三面図!H23</f>
        <v>0.6</v>
      </c>
      <c r="C2">
        <f>三面図!I23</f>
        <v>4.29</v>
      </c>
      <c r="D2">
        <v>0</v>
      </c>
      <c r="E2">
        <v>0</v>
      </c>
      <c r="F2">
        <v>50</v>
      </c>
      <c r="G2">
        <v>10</v>
      </c>
      <c r="H2">
        <v>1</v>
      </c>
      <c r="I2">
        <v>0</v>
      </c>
      <c r="J2" t="s">
        <v>41</v>
      </c>
      <c r="K2" t="s">
        <v>41</v>
      </c>
    </row>
    <row r="3" spans="1:11">
      <c r="A3">
        <f>三面図!M24</f>
        <v>0.8</v>
      </c>
      <c r="B3">
        <f>三面図!H24</f>
        <v>0.4</v>
      </c>
      <c r="C3">
        <f>三面図!I24</f>
        <v>4.4899999999999993</v>
      </c>
      <c r="D3">
        <v>0</v>
      </c>
      <c r="E3">
        <v>0</v>
      </c>
      <c r="F3">
        <v>50</v>
      </c>
      <c r="G3">
        <v>10</v>
      </c>
      <c r="H3">
        <v>1</v>
      </c>
      <c r="I3">
        <v>0</v>
      </c>
      <c r="J3" t="s">
        <v>41</v>
      </c>
      <c r="K3" t="s">
        <v>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17</vt:i4>
      </vt:variant>
    </vt:vector>
  </HeadingPairs>
  <TitlesOfParts>
    <vt:vector size="21" baseType="lpstr">
      <vt:lpstr>三面図</vt:lpstr>
      <vt:lpstr>wing.xwimp</vt:lpstr>
      <vt:lpstr>tail.xwimp</vt:lpstr>
      <vt:lpstr>fin.xwimp</vt:lpstr>
      <vt:lpstr>ARf</vt:lpstr>
      <vt:lpstr>ARw</vt:lpstr>
      <vt:lpstr>bF</vt:lpstr>
      <vt:lpstr>bH</vt:lpstr>
      <vt:lpstr>bW</vt:lpstr>
      <vt:lpstr>lF</vt:lpstr>
      <vt:lpstr>lH</vt:lpstr>
      <vt:lpstr>MACf</vt:lpstr>
      <vt:lpstr>MACh</vt:lpstr>
      <vt:lpstr>MACw</vt:lpstr>
      <vt:lpstr>SF</vt:lpstr>
      <vt:lpstr>SH</vt:lpstr>
      <vt:lpstr>Sw</vt:lpstr>
      <vt:lpstr>wtip</vt:lpstr>
      <vt:lpstr>xcrefW</vt:lpstr>
      <vt:lpstr>yMACw</vt:lpstr>
      <vt:lpstr>zF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Okimoto</dc:creator>
  <cp:lastModifiedBy>Kazuki Okimoto</cp:lastModifiedBy>
  <dcterms:created xsi:type="dcterms:W3CDTF">2015-06-05T18:19:34Z</dcterms:created>
  <dcterms:modified xsi:type="dcterms:W3CDTF">2026-07-04T14:50:27Z</dcterms:modified>
</cp:coreProperties>
</file>